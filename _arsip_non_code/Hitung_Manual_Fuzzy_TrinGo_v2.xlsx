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or Rumus Fuzz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1"/>
    </font>
    <font>
      <name val="Calibri"/>
      <b val="1"/>
      <sz val="11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16" customWidth="1" min="1" max="1"/>
    <col width="29" customWidth="1" min="2" max="2"/>
    <col width="14" customWidth="1" min="3" max="3"/>
    <col width="17" customWidth="1" min="4" max="4"/>
    <col width="15" customWidth="1" min="5" max="5"/>
    <col width="22" customWidth="1" min="6" max="6"/>
    <col width="14" customWidth="1" min="7" max="7"/>
    <col width="22" customWidth="1" min="8" max="8"/>
    <col width="16" customWidth="1" min="9" max="9"/>
    <col width="17" customWidth="1" min="10" max="10"/>
    <col width="48" customWidth="1" min="11" max="11"/>
    <col width="12" customWidth="1" min="12" max="12"/>
    <col width="48" customWidth="1" min="13" max="13"/>
  </cols>
  <sheetData>
    <row r="1">
      <c r="A1" s="1" t="inlineStr">
        <is>
          <t>KALKULATOR &amp; PERHITUNGAN MANUAL FUZZY MAMDANI (SISTEM TRINGO)</t>
        </is>
      </c>
    </row>
    <row r="2">
      <c r="A2" s="2" t="inlineStr">
        <is>
          <t>File ini berisi RUMUS LIVE EXCEL (=SUMPRODUCT, =IF, dll). Silakan klik sel K12, K13, K14 untuk melihat rumusnya!</t>
        </is>
      </c>
    </row>
    <row r="3"/>
    <row r="4">
      <c r="A4" s="3" t="inlineStr">
        <is>
          <t>1. TITIK REPRESENTATIF OUTPUT (SINGLETON)</t>
        </is>
      </c>
    </row>
    <row r="5">
      <c r="A5" s="4" t="inlineStr">
        <is>
          <t>Kategori</t>
        </is>
      </c>
      <c r="B5" s="4" t="inlineStr">
        <is>
          <t>Nilai Singleton (z)</t>
        </is>
      </c>
    </row>
    <row r="6">
      <c r="A6" s="5" t="inlineStr">
        <is>
          <t>Baik</t>
        </is>
      </c>
      <c r="B6" s="5" t="n">
        <v>20</v>
      </c>
    </row>
    <row r="7">
      <c r="A7" s="5" t="inlineStr">
        <is>
          <t>Perlu Servis</t>
        </is>
      </c>
      <c r="B7" s="5" t="n">
        <v>60</v>
      </c>
    </row>
    <row r="8">
      <c r="A8" s="5" t="inlineStr">
        <is>
          <t>Kritis</t>
        </is>
      </c>
      <c r="B8" s="5" t="n">
        <v>90</v>
      </c>
    </row>
    <row r="9"/>
    <row r="10">
      <c r="A10" s="3" t="inlineStr">
        <is>
          <t>2. SIMULASI KELOMPOK SKENARIO (DENGAN RUMUS EXCEL DINAMIS)</t>
        </is>
      </c>
    </row>
    <row r="11">
      <c r="A11" s="6" t="inlineStr">
        <is>
          <t>No</t>
        </is>
      </c>
      <c r="B11" s="6" t="inlineStr">
        <is>
          <t>Skenario Uji</t>
        </is>
      </c>
      <c r="C11" s="6" t="inlineStr">
        <is>
          <t>Jarak (km)</t>
        </is>
      </c>
      <c r="D11" s="6" t="inlineStr">
        <is>
          <t>Durasi (hari)</t>
        </is>
      </c>
      <c r="E11" s="6" t="inlineStr">
        <is>
          <t>Speed (kph)</t>
        </is>
      </c>
      <c r="F11" s="6" t="inlineStr">
        <is>
          <t>Intensitas (km/hr)</t>
        </is>
      </c>
      <c r="G11" s="6" t="inlineStr">
        <is>
          <t>Alpha Baik</t>
        </is>
      </c>
      <c r="H11" s="6" t="inlineStr">
        <is>
          <t>Alpha Perlu Servis</t>
        </is>
      </c>
      <c r="I11" s="6" t="inlineStr">
        <is>
          <t>Alpha Kritis</t>
        </is>
      </c>
      <c r="J11" s="6" t="inlineStr">
        <is>
          <t>Output Sistem</t>
        </is>
      </c>
      <c r="K11" s="6" t="inlineStr">
        <is>
          <t>Rumus Output Manual (Excel)</t>
        </is>
      </c>
      <c r="L11" s="6" t="inlineStr">
        <is>
          <t>Selisih</t>
        </is>
      </c>
      <c r="M11" s="6" t="inlineStr">
        <is>
          <t>Status</t>
        </is>
      </c>
    </row>
    <row r="12">
      <c r="A12" s="7" t="n">
        <v>1</v>
      </c>
      <c r="B12" s="5" t="inlineStr">
        <is>
          <t>Skenario 1 (Normal)</t>
        </is>
      </c>
      <c r="C12" s="7" t="n">
        <v>500</v>
      </c>
      <c r="D12" s="7" t="n">
        <v>30</v>
      </c>
      <c r="E12" s="7" t="n">
        <v>40</v>
      </c>
      <c r="F12" s="7" t="n">
        <v>5</v>
      </c>
      <c r="G12" s="7" t="n">
        <v>1</v>
      </c>
      <c r="H12" s="7" t="n">
        <v>0</v>
      </c>
      <c r="I12" s="7" t="n">
        <v>0</v>
      </c>
      <c r="J12" s="7" t="n">
        <v>20</v>
      </c>
      <c r="K12" s="7">
        <f>SUMPRODUCT(G12:I12, $B$6:$B$8)/SUM(G12:I12)</f>
        <v/>
      </c>
      <c r="L12" s="7">
        <f>J12-K12</f>
        <v/>
      </c>
      <c r="M12" s="7">
        <f>IF(ABS(L12)&lt;0.01, "Sesuai", "Tidak Sesuai")</f>
        <v/>
      </c>
    </row>
    <row r="13">
      <c r="A13" s="7" t="n">
        <v>2</v>
      </c>
      <c r="B13" s="5" t="inlineStr">
        <is>
          <t>Skenario 2 (Perlu Servis)</t>
        </is>
      </c>
      <c r="C13" s="7" t="n">
        <v>2000</v>
      </c>
      <c r="D13" s="7" t="n">
        <v>90</v>
      </c>
      <c r="E13" s="7" t="n">
        <v>55</v>
      </c>
      <c r="F13" s="7" t="n">
        <v>15</v>
      </c>
      <c r="G13" s="7" t="n">
        <v>0</v>
      </c>
      <c r="H13" s="7" t="n">
        <v>1</v>
      </c>
      <c r="I13" s="7" t="n">
        <v>0</v>
      </c>
      <c r="J13" s="7" t="n">
        <v>60</v>
      </c>
      <c r="K13" s="7">
        <f>SUMPRODUCT(G13:I13, $B$6:$B$8)/SUM(G13:I13)</f>
        <v/>
      </c>
      <c r="L13" s="7">
        <f>J13-K13</f>
        <v/>
      </c>
      <c r="M13" s="7">
        <f>IF(ABS(L13)&lt;0.01, "Sesuai", "Tidak Sesuai")</f>
        <v/>
      </c>
    </row>
    <row r="14">
      <c r="A14" s="7" t="n">
        <v>3</v>
      </c>
      <c r="B14" s="5" t="inlineStr">
        <is>
          <t>Skenario 3 (Kritis)</t>
        </is>
      </c>
      <c r="C14" s="7" t="n">
        <v>4500</v>
      </c>
      <c r="D14" s="7" t="n">
        <v>180</v>
      </c>
      <c r="E14" s="7" t="n">
        <v>70</v>
      </c>
      <c r="F14" s="7" t="n">
        <v>25</v>
      </c>
      <c r="G14" s="7" t="n">
        <v>0</v>
      </c>
      <c r="H14" s="7" t="n">
        <v>0</v>
      </c>
      <c r="I14" s="7" t="n">
        <v>1</v>
      </c>
      <c r="J14" s="7" t="n">
        <v>90</v>
      </c>
      <c r="K14" s="7">
        <f>SUMPRODUCT(G14:I14, $B$6:$B$8)/SUM(G14:I14)</f>
        <v/>
      </c>
      <c r="L14" s="7">
        <f>J14-K14</f>
        <v/>
      </c>
      <c r="M14" s="7">
        <f>IF(ABS(L14)&lt;0.01, "Sesuai", "Tidak Sesuai")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2026-07-24T07:52:15Z</dcterms:created>
  <dcterms:modified xmlns:dcterms="http://purl.org/dc/terms/" xmlns:xsi="http://www.w3.org/2001/XMLSchema-instance" xsi:type="dcterms:W3CDTF">2026-07-24T07:52:15Z</dcterms:modified>
</cp:coreProperties>
</file>